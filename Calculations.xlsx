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ekthree\Documents\hometheater\"/>
    </mc:Choice>
  </mc:AlternateContent>
  <xr:revisionPtr revIDLastSave="0" documentId="13_ncr:1_{9953E1EF-6025-4CE0-ABD4-6214461EE53A}" xr6:coauthVersionLast="47" xr6:coauthVersionMax="47" xr10:uidLastSave="{00000000-0000-0000-0000-000000000000}"/>
  <bookViews>
    <workbookView xWindow="-108" yWindow="-108" windowWidth="23256" windowHeight="12456" activeTab="1" xr2:uid="{DB8C7B79-F667-4C5F-9663-F5C375358015}"/>
  </bookViews>
  <sheets>
    <sheet name="RSIC-1 Calc" sheetId="1" r:id="rId1"/>
    <sheet name="Baffle Box Calc" sheetId="2" r:id="rId2"/>
    <sheet name="Conversions" sheetId="3" r:id="rId3"/>
  </sheets>
  <definedNames>
    <definedName name="feetCheck">_xlfn.LAMBDA(_xlpm.unit,_xlpm.value,(_xlfn.IFS(_xlpm.unit="feet",_xlpm.value,_xlpm.unit="inches",_xlpm.value/12)))</definedName>
    <definedName name="inchesCheck">_xlfn.LAMBDA(_xlpm.unit,_xlpm.value,(_xlfn.IFS(_xlpm.unit="inches",_xlpm.value,_xlpm.unit="feet",_xlpm.value*12)))</definedName>
    <definedName name="RowPos">_xlfn.LAMBDA(_xlpm.height,_xlpm.qty,_xlpm.spacing, _xlfn.LET(  _xlpm.rows, _xlpm.height/2+(_xlfn.SEQUENCE(_xlpm.qty)-(_xlpm.qty+1)/2)*_xlpm.spacing,  _xlfn.TEXTJOIN(", ",TRUE,_xlpm.rows) ))</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3" l="1" a="1"/>
  <c r="E13" i="3" s="1"/>
  <c r="E14" i="3" a="1"/>
  <c r="E14" i="3" s="1"/>
  <c r="E10" i="3" a="1"/>
  <c r="E10" i="3" s="1"/>
  <c r="E8" i="3" a="1"/>
  <c r="E8" i="3" s="1"/>
  <c r="P11" i="2"/>
  <c r="L7" i="2"/>
  <c r="L6" i="2"/>
  <c r="M29" i="2"/>
  <c r="I30" i="2"/>
  <c r="I29" i="2" s="1"/>
  <c r="I27" i="2"/>
  <c r="O11" i="2"/>
  <c r="E11" i="2"/>
  <c r="E12" i="2" s="1"/>
  <c r="B10" i="2"/>
  <c r="I24" i="2"/>
  <c r="M27" i="2" l="1"/>
  <c r="I28" i="2"/>
  <c r="M28" i="2" s="1"/>
  <c r="B11" i="2"/>
  <c r="B14" i="2" s="1"/>
  <c r="I10" i="2" s="1"/>
  <c r="L11" i="2" s="1"/>
  <c r="B31" i="1"/>
  <c r="B32" i="1" s="1"/>
  <c r="B33" i="1" s="1" a="1"/>
  <c r="B33" i="1" s="1"/>
  <c r="B23" i="1" a="1"/>
  <c r="B23" i="1" s="1"/>
  <c r="A22" i="1"/>
  <c r="B20" i="1" a="1"/>
  <c r="B20" i="1" s="1"/>
  <c r="B14" i="1" a="1"/>
  <c r="B14" i="1" s="1"/>
  <c r="A13" i="1"/>
  <c r="B11" i="1" a="1"/>
  <c r="B11" i="1" s="1"/>
  <c r="B6" i="1"/>
  <c r="E14" i="2" l="1"/>
  <c r="M30" i="2"/>
  <c r="L8" i="2"/>
  <c r="L10" i="2" s="1"/>
  <c r="N27" i="2"/>
  <c r="B13" i="2"/>
  <c r="B15" i="1"/>
  <c r="B16" i="1" s="1" a="1"/>
  <c r="B16" i="1" s="1"/>
  <c r="B12" i="1" a="1"/>
  <c r="B12" i="1" s="1"/>
  <c r="B13" i="1" s="1"/>
  <c r="B24" i="1"/>
  <c r="B25" i="1" s="1" a="1"/>
  <c r="B25" i="1" s="1"/>
  <c r="B21" i="1" a="1"/>
  <c r="B21" i="1" s="1"/>
  <c r="B22" i="1" s="1"/>
  <c r="B30" i="1" a="1"/>
  <c r="B30" i="1" s="1"/>
  <c r="I12" i="2" l="1"/>
  <c r="L9" i="2"/>
  <c r="O7" i="2" s="1"/>
  <c r="N28" i="2"/>
  <c r="O10" i="2" l="1"/>
  <c r="O8" i="2"/>
  <c r="P7" i="2"/>
  <c r="P8" i="2" s="1"/>
  <c r="O9" i="2"/>
  <c r="I11" i="2" s="1"/>
  <c r="P9" i="2" l="1"/>
  <c r="P1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tc={EEC4EF2A-D5BB-4496-80B1-218C6BE1D6C5}</author>
    <author>tc={A85B4F3C-F975-4C64-8142-5888D7D9FBBE}</author>
    <author>tc={D988E02E-A2B7-418B-AF79-B7E849C61AC2}</author>
    <author>tc={83965CEE-7455-466D-A472-E312EF4C3D03}</author>
    <author>tc={3170DE29-3897-4C1F-8A33-ABBF6184160B}</author>
    <author>tc={522890F8-B0A4-440B-886B-6BB55F1B9936}</author>
    <author>tc={B4934FCD-3175-4E8B-82F8-C8E5289A5A80}</author>
    <author>tc={AADA5476-0F4E-4CAB-BB1D-11BC5BE6E828}</author>
    <author>tc={97BB840E-1454-43F8-9637-7433D8598001}</author>
  </authors>
  <commentList>
    <comment ref="O6" authorId="0" shapeId="0" xr:uid="{EEC4EF2A-D5BB-4496-80B1-218C6BE1D6C5}">
      <text>
        <t>[Threaded comment]
Your version of Excel allows you to read this threaded comment; however, any edits to it will get removed if the file is opened in a newer version of Excel. Learn more: https://go.microsoft.com/fwlink/?linkid=870924
Comment:
    From Liner to liner</t>
      </text>
    </comment>
    <comment ref="P6" authorId="1" shapeId="0" xr:uid="{A85B4F3C-F975-4C64-8142-5888D7D9FBBE}">
      <text>
        <t xml:space="preserve">[Threaded comment]
Your version of Excel allows you to read this threaded comment; however, any edits to it will get removed if the file is opened in a newer version of Excel. Learn more: https://go.microsoft.com/fwlink/?linkid=870924
Comment:
    Absolute On Center Position from entrance inside wall. </t>
      </text>
    </comment>
    <comment ref="N7" authorId="2" shapeId="0" xr:uid="{D988E02E-A2B7-418B-AF79-B7E849C61AC2}">
      <text>
        <t>[Threaded comment]
Your version of Excel allows you to read this threaded comment; however, any edits to it will get removed if the file is opened in a newer version of Excel. Learn more: https://go.microsoft.com/fwlink/?linkid=870924
Comment:
    This is not a baffle, it’s a base dimension</t>
      </text>
    </comment>
    <comment ref="K9" authorId="3" shapeId="0" xr:uid="{83965CEE-7455-466D-A472-E312EF4C3D03}">
      <text>
        <t>[Threaded comment]
Your version of Excel allows you to read this threaded comment; however, any edits to it will get removed if the file is opened in a newer version of Excel. Learn more: https://go.microsoft.com/fwlink/?linkid=870924
Comment:
    Ensure that the chambers are 1.1 greater than the air gap.</t>
      </text>
    </comment>
    <comment ref="H10" authorId="4" shapeId="0" xr:uid="{3170DE29-3897-4C1F-8A33-ABBF6184160B}">
      <text>
        <t>[Threaded comment]
Your version of Excel allows you to read this threaded comment; however, any edits to it will get removed if the file is opened in a newer version of Excel. Learn more: https://go.microsoft.com/fwlink/?linkid=870924
Comment:
    Must be smaller than Int. Height, otherwise increase ext. W or H</t>
      </text>
    </comment>
    <comment ref="K10" authorId="5" shapeId="0" xr:uid="{522890F8-B0A4-440B-886B-6BB55F1B9936}">
      <text>
        <t>[Threaded comment]
Your version of Excel allows you to read this threaded comment; however, any edits to it will get removed if the file is opened in a newer version of Excel. Learn more: https://go.microsoft.com/fwlink/?linkid=870924
Comment:
    FPM through chambers</t>
      </text>
    </comment>
    <comment ref="K11" authorId="6" shapeId="0" xr:uid="{B4934FCD-3175-4E8B-82F8-C8E5289A5A80}">
      <text>
        <t>[Threaded comment]
Your version of Excel allows you to read this threaded comment; however, any edits to it will get removed if the file is opened in a newer version of Excel. Learn more: https://go.microsoft.com/fwlink/?linkid=870924
Comment:
    Validate that the box won’t whistle. We calculate the area of the smallest gap the air must travel through.</t>
      </text>
    </comment>
    <comment ref="A12" authorId="7" shapeId="0" xr:uid="{AADA5476-0F4E-4CAB-BB1D-11BC5BE6E828}">
      <text>
        <t>[Threaded comment]
Your version of Excel allows you to read this threaded comment; however, any edits to it will get removed if the file is opened in a newer version of Excel. Learn more: https://go.microsoft.com/fwlink/?linkid=870924
Comment:
    Air Changes per Hour</t>
      </text>
    </comment>
    <comment ref="H12" authorId="8" shapeId="0" xr:uid="{97BB840E-1454-43F8-9637-7433D8598001}">
      <text>
        <t xml:space="preserve">[Threaded comment]
Your version of Excel allows you to read this threaded comment; however, any edits to it will get removed if the file is opened in a newer version of Excel. Learn more: https://go.microsoft.com/fwlink/?linkid=870924
Comment:
    Length of the wood from the internal wood wall. 1” Liner should be added to the end.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<sst xmlns="http://schemas.openxmlformats.org/spreadsheetml/2006/main" count="185" uniqueCount="117">
  <si>
    <t>Ceiling Variables</t>
  </si>
  <si>
    <t>Value</t>
  </si>
  <si>
    <t>UNIT</t>
  </si>
  <si>
    <t>Conversion Calculator</t>
  </si>
  <si>
    <t>Length</t>
  </si>
  <si>
    <t>feet</t>
  </si>
  <si>
    <t>Enter Value</t>
  </si>
  <si>
    <t>FROM</t>
  </si>
  <si>
    <t>Result</t>
  </si>
  <si>
    <t>TO</t>
  </si>
  <si>
    <t>Width</t>
  </si>
  <si>
    <t>inches</t>
  </si>
  <si>
    <t>Area</t>
  </si>
  <si>
    <t>sqft</t>
  </si>
  <si>
    <t>Hat Channel Length</t>
  </si>
  <si>
    <t>Spacing</t>
  </si>
  <si>
    <t>1-2 Lyers of 5/8" DW: Clips at 24" o.c.</t>
  </si>
  <si>
    <t>qty</t>
  </si>
  <si>
    <t>Estimated Hat Channel needed</t>
  </si>
  <si>
    <t>linear ft.</t>
  </si>
  <si>
    <t>3. Add type of hat channel available to you.e.g. 10' or 12'</t>
  </si>
  <si>
    <t>Min Number of rows</t>
  </si>
  <si>
    <t>Min Number of inner rows</t>
  </si>
  <si>
    <t>The clip quantity calculations are based off the PAC international tables.</t>
  </si>
  <si>
    <t>Min Interior rows placed at:</t>
  </si>
  <si>
    <t>The Hat Channel calculations incorporate 6" overlap and ~10% extra, rounded up.</t>
  </si>
  <si>
    <t>Minimum rows should allow for proper spacing.</t>
  </si>
  <si>
    <t xml:space="preserve">Inner rows are those rows that are NOT the end (top and bottom) rows. </t>
  </si>
  <si>
    <t>Placement should allow for end rows on each side within 8" from edge and within 24" from next/previous row.</t>
  </si>
  <si>
    <t>3 Layers of 5/8" DW: Clips at 16" o.c.</t>
  </si>
  <si>
    <t>Estimated  Hat Channel needed</t>
  </si>
  <si>
    <t>Min Number of Rows</t>
  </si>
  <si>
    <t>Min Number of Inner Rows</t>
  </si>
  <si>
    <t>Min Inner Rows Placed At</t>
  </si>
  <si>
    <t>Experimental  24"</t>
  </si>
  <si>
    <t>Possible alternative if neededing an a closer 2nd row to place ends &lt;= 6"</t>
  </si>
  <si>
    <t>Estimated hat channel needed</t>
  </si>
  <si>
    <t>number of rows</t>
  </si>
  <si>
    <t>number of inner rows</t>
  </si>
  <si>
    <t>Inner rows placed at</t>
  </si>
  <si>
    <t>Room Calc</t>
  </si>
  <si>
    <t>length</t>
  </si>
  <si>
    <t>width</t>
  </si>
  <si>
    <t>height</t>
  </si>
  <si>
    <t>ACH</t>
  </si>
  <si>
    <t>CFM</t>
  </si>
  <si>
    <t>Load CFM</t>
  </si>
  <si>
    <t>https://ductulator.com</t>
  </si>
  <si>
    <t>Internal Volume</t>
  </si>
  <si>
    <t>Baffle Length</t>
  </si>
  <si>
    <t>Depth</t>
  </si>
  <si>
    <t>Box dimensions</t>
  </si>
  <si>
    <t>Number of Runs</t>
  </si>
  <si>
    <t>Number of Baffles</t>
  </si>
  <si>
    <t>Duct Height (h)</t>
  </si>
  <si>
    <t>Duct Width (w)</t>
  </si>
  <si>
    <t>Unit</t>
  </si>
  <si>
    <t>Variable</t>
  </si>
  <si>
    <t>cu.ft.</t>
  </si>
  <si>
    <t>Ext. Width</t>
  </si>
  <si>
    <t>Ext. Height</t>
  </si>
  <si>
    <t>No. oBaffles</t>
  </si>
  <si>
    <t>phi(gold ratio)</t>
  </si>
  <si>
    <t>Int. Width</t>
  </si>
  <si>
    <t>Int. Height</t>
  </si>
  <si>
    <t>BaseD</t>
  </si>
  <si>
    <t>Ext. Length</t>
  </si>
  <si>
    <t>CalcFPM</t>
  </si>
  <si>
    <t>FPM</t>
  </si>
  <si>
    <t>Preffered Air Velocity</t>
  </si>
  <si>
    <t>Int. Area</t>
  </si>
  <si>
    <t>AirGap (min)</t>
  </si>
  <si>
    <t>IntArea</t>
  </si>
  <si>
    <t>DMin</t>
  </si>
  <si>
    <t>total</t>
  </si>
  <si>
    <t>cu.ft</t>
  </si>
  <si>
    <t>Count</t>
  </si>
  <si>
    <t>sq.ft.</t>
  </si>
  <si>
    <t>Min CFM (1ex/3hr)</t>
  </si>
  <si>
    <t>Load CFM (6ex/1hr)</t>
  </si>
  <si>
    <t>Soffit Calc (Optional)</t>
  </si>
  <si>
    <t>Height</t>
  </si>
  <si>
    <t>Volume</t>
  </si>
  <si>
    <t>Vol/per</t>
  </si>
  <si>
    <t>minus soff.</t>
  </si>
  <si>
    <t>A3. Enter desired Box Width, Height, and number of baffles</t>
  </si>
  <si>
    <t>1.Enter room dimensions, and desired Air velocity</t>
  </si>
  <si>
    <t>Baffle #</t>
  </si>
  <si>
    <t>Abs. O.C. Pos</t>
  </si>
  <si>
    <t>2. Change units accordinlgy on length and width: feet, inches</t>
  </si>
  <si>
    <t>Row placements are measured from edge.</t>
  </si>
  <si>
    <t>As with wood working and ALL things, DOUBLE &amp; TRIPLE check all calculations</t>
  </si>
  <si>
    <t>Calculate from</t>
  </si>
  <si>
    <t>CFM Minus Soffit</t>
  </si>
  <si>
    <t>B. Space is NOT a factor. Provide CFM and Air Velocity to duct website to calculate internal duct size. Transfer WxH values to sheet to determine size of box needed. Used for placing boxes outside of theater.</t>
  </si>
  <si>
    <t>A. Space is a factor. Provide a boxes desired Width, Height, and baffle count (upto 4) to be constructed. 
The boxes Length will then be calculated to provide efficent sound reduction below the preferred Air Velocity. Used for placing boxes between ceiling joists or inside soffits.</t>
  </si>
  <si>
    <t xml:space="preserve">2. Choose your own Adventure: A or B
</t>
  </si>
  <si>
    <t>B3. Take CFM and pluginto ductulator.com. Adjust the Airflow to specific CFM, Adjust  the Air Velocity to 300 FPM.  Adjust rectangle Duct till FPM is equal or less than 300. Make note of W &amp; H</t>
  </si>
  <si>
    <t>Wall Thickness (3/4 OSB)</t>
  </si>
  <si>
    <t>Liner Thickness (duct board)</t>
  </si>
  <si>
    <t>Baffle Vol.</t>
  </si>
  <si>
    <t>cu.in</t>
  </si>
  <si>
    <t>sq.in</t>
  </si>
  <si>
    <t>Dist from Previous</t>
  </si>
  <si>
    <t>Select Unit</t>
  </si>
  <si>
    <t>On the measuring tape</t>
  </si>
  <si>
    <t>ft</t>
  </si>
  <si>
    <t>OR</t>
  </si>
  <si>
    <t>As feet/inches</t>
  </si>
  <si>
    <t>sq.in.</t>
  </si>
  <si>
    <t>BAFFLE BOX CALCULATOR</t>
  </si>
  <si>
    <t>RSIC-1 CALCULATOR</t>
  </si>
  <si>
    <t>B4. Create Your Box. Take Width and Height from ductulator.com and plug into values below. Enter baffle count. Or just start entering values, CalcFPM will tell you if good.</t>
  </si>
  <si>
    <t>First thing.. Like most of all DIY'ers, I AM NOT AN EXPERT. These calculations are NOT absoluate. This is all empirical data.
Description: Calculate the baffle box size needed for a rooms requirements for HVAC vents. Standard requirements for a home residents is that the air in a room should be exchanged 6 times per hour. By providing a rooms dimensions (LxWxH) the Cubit Fee per Minute (CFM) that is needed is calculated for this exchange to take place. For every occupant of a room it's also recommended for 15 CFM to occur, for six people that's 90 CFM, so unless crowded in a closet most Loads should suffice.
When air is supplied a rushing/wooshing sound and sometimes a whistle can be audible by the fast moving air. This is due to the speed of the air being supplied within a given boxed area. To alleviate this issue the air velocity can be lowered and surfaces can be affixed with sound absorbing material. The recommended velocity for air to be supplied so as to not be audible is roughly 300 Feet Per Minute (FPM). By providing this value the box is calculated to meet this requirement, however this is not a static value and can be changed if desired. Think of water moving through and releasing from a pipe: when minimum slow moving water there's no noise (other than the drip hitting a surface), but when tons of water is rushing through a small pipe it makes a garbbablebblebele sound, lik a firehose, shower, or faucet.
When calculating a box, it's assumed to be using 3/4" plywood and 1" ductboard. These values are not static and can be updated. Two types of boxes are calculated. 
The 1st is calculated based on size restrictions provided, but only two values: Width and Height, This is because the third value (Length) is what is calculated in order to meet CFM &amp; FPM requirements. Recommended for instances of placing baffle boxes between ceiling joists or in soffits. The amount of baffles can also be given which will affect the box size. Each baffle provides reduction in decibels, however I've read diminishing returns occurs beyond three baffles. The golden ratio is also used to calculate baffle placement. Staggered baffles help disrupt air and sound to reduce static pressure and standing waves. Baffle placement is provided in the Absoluate On Center Position column. This is to be measured from the entrance side on the inside of the box against the wood not the liner. The measurement marks the CENTER of the wood baffle. Baffles should be placed along the wider part (width or height) of the box, the calculations try to take this into considerations. Ex. if you have a box 20"x13", the baffle will be cut and placed against the 20" side giving an ~11" baffle (wood)  with ~4" gap (between liners). Lastely included is to calculate from the "Load CFM" or from "CFM minus soffit" area. If soffits are in the room this technically takes away from a rooms cubic area and thus from it's CFM. It's recommended to use the Load CFM as occupancy and heat from equipment factor into room comfort, but in the event you're working with a small area for baffle placement and want to squeeze out as much as you can, removing soffit area can be done. Soffits assume to be identical.
The 2nd is calculated based on internal duct size being equal throughout the box with no external measurement restrictions. This is used for instances when placing the baffle box outside of the room like in an adjacent room. The website provided should provide the exact measurements for internal duct area to meet the CFM &amp; FPM requirements. These variables are then transferred to this sheet to provide the box size needed to match the internal duct size. Although the sheet also validates measurements by calculating the FPM from the internal duct size provided; green - good, red - bad. Duct sizes can be entered without visiting the website, and the sheet will show if requirements are met or not. Baffle count can also be entered, see above for baffle count explaination.</t>
  </si>
  <si>
    <t>1. Enter Length and width of ceiling. Width can also be height of a wall however placement does not incorporate 3"-6" placement of top and bottom rows.</t>
  </si>
  <si>
    <t>by</t>
  </si>
  <si>
    <t>sekthree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</si>
</sst>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16"/>
  </numFmts>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5"/>
      <color theme="3"/>
      <name val="Aptos Narrow"/>
      <family val="2"/>
      <scheme val="minor"/>
    </font>
    <font>
      <sz val="11"/>
      <color rgb="FF000000"/>
      <name val="Aptos Narrow"/>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theme="0" tint="-0.34998626667073579"/>
        <bgColor indexed="64"/>
      </patternFill>
    </fill>
    <fill>
      <patternFill patternType="solid">
        <fgColor rgb="FFFFC000"/>
        <bgColor indexed="64"/>
      </patternFill>
    </fill>
    <fill>
      <patternFill patternType="solid">
        <fgColor theme="3" tint="0.89999084444715716"/>
        <bgColor indexed="64"/>
      </patternFill>
    </fill>
    <fill>
      <patternFill patternType="solid">
        <fgColor theme="8" tint="0.39997558519241921"/>
        <bgColor indexed="64"/>
      </patternFill>
    </fill>
    <fill>
      <patternFill patternType="solid">
        <fgColor rgb="FFFFFF0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style="thick">
        <color theme="4"/>
      </top>
      <bottom/>
      <diagonal/>
    </border>
  </borders>
  <cellStyleXfs count="3">
    <xf numFmtId="0" fontId="0" fillId="0" borderId="0"/>
    <xf numFmtId="0" fontId="2" fillId="0" borderId="0" applyNumberFormat="0" applyFill="0" applyBorder="0" applyAlignment="0" applyProtection="0"/>
    <xf numFmtId="0" fontId="3" fillId="0" borderId="2" applyNumberFormat="0" applyFill="0" applyAlignment="0" applyProtection="0"/>
  </cellStyleXfs>
  <cellXfs count="31">
    <xf numFmtId="0" fontId="0" fillId="0" borderId="0" xfId="0"/>
    <xf numFmtId="0" fontId="1" fillId="0" borderId="0" xfId="0" applyFont="1"/>
    <xf numFmtId="164" fontId="0" fillId="0" borderId="0" xfId="0" applyNumberFormat="1"/>
    <xf numFmtId="0" fontId="0" fillId="0" borderId="0" xfId="0" quotePrefix="1"/>
    <xf numFmtId="0" fontId="0" fillId="2" borderId="1" xfId="0" applyFill="1" applyBorder="1"/>
    <xf numFmtId="0" fontId="0" fillId="0" borderId="0" xfId="0" applyAlignment="1">
      <alignment horizontal="center"/>
    </xf>
    <xf numFmtId="0" fontId="0" fillId="3" borderId="0" xfId="0" applyFill="1"/>
    <xf numFmtId="0" fontId="1" fillId="4" borderId="0" xfId="0" applyFont="1" applyFill="1"/>
    <xf numFmtId="0" fontId="0" fillId="4" borderId="0" xfId="0" applyFill="1"/>
    <xf numFmtId="0" fontId="0" fillId="5" borderId="0" xfId="0" applyFill="1"/>
    <xf numFmtId="0" fontId="0" fillId="7" borderId="0" xfId="0" applyFill="1"/>
    <xf numFmtId="0" fontId="1" fillId="0" borderId="0" xfId="0" applyFont="1" applyAlignment="1">
      <alignment vertical="top" wrapText="1"/>
    </xf>
    <xf numFmtId="0" fontId="1" fillId="8" borderId="0" xfId="0" applyFont="1" applyFill="1"/>
    <xf numFmtId="0" fontId="0" fillId="8" borderId="0" xfId="0" applyFill="1"/>
    <xf numFmtId="0" fontId="1" fillId="8" borderId="0" xfId="0" applyFont="1" applyFill="1" applyAlignment="1">
      <alignment vertical="top" wrapText="1"/>
    </xf>
    <xf numFmtId="0" fontId="0" fillId="0" borderId="0" xfId="0" quotePrefix="1" applyAlignment="1">
      <alignment horizontal="center"/>
    </xf>
    <xf numFmtId="0" fontId="0" fillId="6" borderId="0" xfId="0" applyFill="1" applyAlignment="1">
      <alignment horizontal="left" vertical="top" wrapText="1"/>
    </xf>
    <xf numFmtId="0" fontId="1" fillId="6" borderId="0" xfId="0" applyFont="1" applyFill="1" applyAlignment="1">
      <alignment horizontal="left" vertical="top" wrapText="1"/>
    </xf>
    <xf numFmtId="0" fontId="2" fillId="0" borderId="0" xfId="1" applyFill="1" applyAlignment="1">
      <alignment horizontal="center" vertical="top" wrapText="1"/>
    </xf>
    <xf numFmtId="0" fontId="1" fillId="8" borderId="0" xfId="0" applyFont="1" applyFill="1" applyAlignment="1">
      <alignment horizontal="left" vertical="top" wrapText="1"/>
    </xf>
    <xf numFmtId="0" fontId="0" fillId="4" borderId="0" xfId="0" applyFill="1" applyAlignment="1">
      <alignment horizontal="left" vertical="top" wrapText="1"/>
    </xf>
    <xf numFmtId="0" fontId="1" fillId="0" borderId="0" xfId="0" applyFont="1" applyAlignment="1">
      <alignment horizontal="center"/>
    </xf>
    <xf numFmtId="0" fontId="0" fillId="9" borderId="0" xfId="0" applyFill="1"/>
    <xf numFmtId="0" fontId="0" fillId="9" borderId="1" xfId="0" applyFill="1" applyBorder="1"/>
    <xf numFmtId="13" fontId="0" fillId="0" borderId="0" xfId="0" applyNumberFormat="1"/>
    <xf numFmtId="0" fontId="0" fillId="0" borderId="0" xfId="0" applyNumberFormat="1"/>
    <xf numFmtId="0" fontId="4" fillId="0" borderId="0" xfId="0" applyFont="1"/>
    <xf numFmtId="0" fontId="1" fillId="3" borderId="0" xfId="0" applyFont="1" applyFill="1" applyAlignment="1">
      <alignment vertical="top" wrapText="1"/>
    </xf>
    <xf numFmtId="0" fontId="3" fillId="0" borderId="2" xfId="2" applyAlignment="1">
      <alignment horizontal="center" vertical="center"/>
    </xf>
    <xf numFmtId="0" fontId="0" fillId="0" borderId="3" xfId="0" applyBorder="1" applyAlignment="1">
      <alignment horizontal="left" vertical="top" wrapText="1"/>
    </xf>
    <xf numFmtId="0" fontId="0" fillId="10" borderId="0" xfId="0" applyFill="1"/>
  </cellXfs>
  <cellStyles count="3">
    <cellStyle name="Heading 1" xfId="2" builtinId="16"/>
    <cellStyle name="Hyperlink" xfId="1" builtinId="8"/>
    <cellStyle name="Normal" xfId="0" builtinId="0"/>
  </cellStyles>
  <dxfs count="10">
    <dxf>
      <fill>
        <patternFill>
          <bgColor rgb="FF92D050"/>
        </patternFill>
      </fill>
    </dxf>
    <dxf>
      <fill>
        <patternFill>
          <bgColor rgb="FFFF0000"/>
        </patternFill>
      </fill>
    </dxf>
    <dxf>
      <fill>
        <patternFill>
          <bgColor rgb="FFFF0000"/>
        </patternFill>
      </fill>
    </dxf>
    <dxf>
      <fill>
        <patternFill>
          <bgColor rgb="FFFFC000"/>
        </patternFill>
      </fill>
    </dxf>
    <dxf>
      <fill>
        <patternFill>
          <bgColor rgb="FFFFC000"/>
        </patternFill>
      </fill>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sekthree" id="{80B567F5-4A80-4E80-92D4-94B755173946}" userId="sekthree"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876655-E06A-4C27-B677-5F7A21019C72}" name="Table1" displayName="Table1" ref="A3:C7" totalsRowShown="0" headerRowDxfId="9">
  <autoFilter ref="A3:C7" xr:uid="{99876655-E06A-4C27-B677-5F7A21019C72}"/>
  <tableColumns count="3">
    <tableColumn id="1" xr3:uid="{2074FFFD-46EA-49A3-84F3-1445992B9E0E}" name="Ceiling Variables"/>
    <tableColumn id="2" xr3:uid="{A61A6499-4775-4F5C-BEB3-004026340636}" name="Value"/>
    <tableColumn id="3" xr3:uid="{B3BB14FA-17BD-4238-BDBD-37002161961B}" name="UNIT"/>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AB1DFE-2A65-4E6C-BEA6-2E323EBACC11}" name="Table5" displayName="Table5" ref="A10:C16" headerRowCount="0" totalsRowShown="0">
  <tableColumns count="3">
    <tableColumn id="1" xr3:uid="{8AB85CC7-9D5F-4E9D-82CF-D83CE313A743}" name="Column1" headerRowDxfId="8" dataDxfId="7"/>
    <tableColumn id="2" xr3:uid="{C5A989E4-834D-422D-AD53-E59E3D1107F7}" name="Column2"/>
    <tableColumn id="3" xr3:uid="{CB0D3CF6-A70F-47AC-9B1F-15C0BD8AAA8D}" name="Column3"/>
  </tableColumns>
  <tableStyleInfo name="TableStyleMedium2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159225-FBEB-498D-AA96-6C40AA0CBBAC}" name="Table6" displayName="Table6" ref="A19:C25" headerRowCount="0" totalsRowShown="0">
  <tableColumns count="3">
    <tableColumn id="1" xr3:uid="{0E11655C-CED4-417B-A346-742C93C65A00}" name="Column1" headerRowDxfId="6" dataDxfId="5"/>
    <tableColumn id="2" xr3:uid="{7A083905-B44C-4636-8050-67665F3B762C}" name="Column2"/>
    <tableColumn id="3" xr3:uid="{8DE6389C-5722-4EFB-886C-36C50B464F3E}" name="Column3"/>
  </tableColumns>
  <tableStyleInfo name="TableStyleMedium2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5CB6FAF-E535-4123-AF10-70EA6BC5F727}" name="Table7" displayName="Table7" ref="A29:C33" headerRowCount="0" totalsRowShown="0">
  <tableColumns count="3">
    <tableColumn id="1" xr3:uid="{885079AB-A309-441C-A62D-7FAC0A50DCEB}" name="Column1"/>
    <tableColumn id="2" xr3:uid="{E28EB47F-61C1-4666-9B3C-ED763496661A}" name="Column2"/>
    <tableColumn id="3" xr3:uid="{13CE3A3F-1897-4F66-AC30-5C7723A439A0}" name="Column3"/>
  </tableColumns>
  <tableStyleInfo name="TableStyleMedium2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O6" dT="2026-03-23T03:11:54.05" personId="{80B567F5-4A80-4E80-92D4-94B755173946}" id="{EEC4EF2A-D5BB-4496-80B1-218C6BE1D6C5}">
    <text>From Liner to liner</text>
  </threadedComment>
  <threadedComment ref="P6" dT="2026-03-23T00:56:05.54" personId="{80B567F5-4A80-4E80-92D4-94B755173946}" id="{A85B4F3C-F975-4C64-8142-5888D7D9FBBE}">
    <text xml:space="preserve">Absolute On Center Position from entrance inside wall. </text>
  </threadedComment>
  <threadedComment ref="N7" dT="2026-03-23T03:12:12.42" personId="{80B567F5-4A80-4E80-92D4-94B755173946}" id="{D988E02E-A2B7-418B-AF79-B7E849C61AC2}">
    <text>This is not a baffle, it’s a base dimension</text>
  </threadedComment>
  <threadedComment ref="K9" dT="2026-03-22T04:50:07.54" personId="{80B567F5-4A80-4E80-92D4-94B755173946}" id="{83965CEE-7455-466D-A472-E312EF4C3D03}">
    <text>Ensure that the chambers are 1.1 greater than the air gap.</text>
  </threadedComment>
  <threadedComment ref="H10" dT="2026-03-22T00:55:43.16" personId="{80B567F5-4A80-4E80-92D4-94B755173946}" id="{3170DE29-3897-4C1F-8A33-ABBF6184160B}">
    <text>Must be smaller than Int. Height, otherwise increase ext. W or H</text>
  </threadedComment>
  <threadedComment ref="K10" dT="2026-03-23T03:10:18.37" personId="{80B567F5-4A80-4E80-92D4-94B755173946}" id="{522890F8-B0A4-440B-886B-6BB55F1B9936}">
    <text>FPM through chambers</text>
  </threadedComment>
  <threadedComment ref="K11" dT="2026-03-22T03:49:57.56" personId="{80B567F5-4A80-4E80-92D4-94B755173946}" id="{B4934FCD-3175-4E8B-82F8-C8E5289A5A80}">
    <text>Validate that the box won’t whistle. We calculate the area of the smallest gap the air must travel through.</text>
  </threadedComment>
  <threadedComment ref="A12" dT="2026-03-22T14:47:46.88" personId="{80B567F5-4A80-4E80-92D4-94B755173946}" id="{AADA5476-0F4E-4CAB-BB1D-11BC5BE6E828}">
    <text>Air Changes per Hour</text>
  </threadedComment>
  <threadedComment ref="H12" dT="2026-03-23T03:04:38.26" personId="{80B567F5-4A80-4E80-92D4-94B755173946}" id="{97BB840E-1454-43F8-9637-7433D8598001}">
    <text xml:space="preserve">Length of the wood from the internal wood wall. 1” Liner should be added to the end.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ductulator.com/" TargetMode="External"/><Relationship Id="rId1" Type="http://schemas.openxmlformats.org/officeDocument/2006/relationships/hyperlink" Target="ductulator.com"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2D499-4F92-4137-A00E-DCAAD87ECF6A}">
  <dimension ref="A1:Q45"/>
  <sheetViews>
    <sheetView workbookViewId="0">
      <selection activeCell="B4" sqref="B4"/>
    </sheetView>
  </sheetViews>
  <sheetFormatPr defaultRowHeight="14.4" x14ac:dyDescent="0.3"/>
  <cols>
    <col min="1" max="1" width="34.21875" bestFit="1" customWidth="1"/>
    <col min="2" max="2" width="18.109375" bestFit="1" customWidth="1"/>
    <col min="3" max="3" width="10.109375" customWidth="1"/>
    <col min="4" max="4" width="8.6640625" customWidth="1"/>
    <col min="5" max="5" width="10.109375" bestFit="1" customWidth="1"/>
    <col min="6" max="6" width="7.88671875" customWidth="1"/>
    <col min="8" max="8" width="7" customWidth="1"/>
  </cols>
  <sheetData>
    <row r="1" spans="1:17" ht="20.399999999999999" thickBot="1" x14ac:dyDescent="0.35">
      <c r="A1" s="28" t="s">
        <v>111</v>
      </c>
      <c r="B1" s="28"/>
      <c r="C1" s="28"/>
      <c r="D1" s="28"/>
      <c r="E1" s="28"/>
      <c r="F1" s="28"/>
      <c r="G1" s="28"/>
      <c r="H1" s="28"/>
      <c r="I1" s="28"/>
      <c r="J1" s="28"/>
      <c r="K1" s="28"/>
      <c r="L1" s="28"/>
      <c r="M1" s="28"/>
      <c r="N1" s="28"/>
      <c r="O1" s="28"/>
      <c r="P1" s="28"/>
      <c r="Q1" s="28"/>
    </row>
    <row r="2" spans="1:17" ht="15" thickTop="1" x14ac:dyDescent="0.3">
      <c r="A2" s="6"/>
      <c r="B2" s="6"/>
      <c r="C2" s="6"/>
      <c r="D2" s="6"/>
      <c r="E2" s="6"/>
      <c r="F2" s="6"/>
      <c r="G2" s="6"/>
      <c r="H2" s="6"/>
      <c r="I2" s="6"/>
      <c r="J2" s="6"/>
      <c r="K2" s="6"/>
      <c r="L2" s="6"/>
      <c r="M2" s="6"/>
      <c r="N2" s="6"/>
      <c r="O2" s="6"/>
      <c r="P2" s="6" t="s">
        <v>115</v>
      </c>
      <c r="Q2" s="6" t="s">
        <v>116</v>
      </c>
    </row>
    <row r="3" spans="1:17" x14ac:dyDescent="0.3">
      <c r="A3" s="1" t="s">
        <v>0</v>
      </c>
      <c r="B3" s="1" t="s">
        <v>1</v>
      </c>
      <c r="C3" s="1" t="s">
        <v>2</v>
      </c>
    </row>
    <row r="4" spans="1:17" x14ac:dyDescent="0.3">
      <c r="A4" t="s">
        <v>4</v>
      </c>
      <c r="B4">
        <v>237</v>
      </c>
      <c r="C4" t="s">
        <v>5</v>
      </c>
      <c r="E4" t="s">
        <v>114</v>
      </c>
    </row>
    <row r="5" spans="1:17" x14ac:dyDescent="0.3">
      <c r="A5" t="s">
        <v>10</v>
      </c>
      <c r="B5">
        <v>119</v>
      </c>
      <c r="C5" t="s">
        <v>11</v>
      </c>
      <c r="E5" t="s">
        <v>89</v>
      </c>
    </row>
    <row r="6" spans="1:17" x14ac:dyDescent="0.3">
      <c r="A6" t="s">
        <v>12</v>
      </c>
      <c r="B6">
        <f>PRODUCT(feetCheck(C4,B4),feetCheck(C5,B5))</f>
        <v>2350.25</v>
      </c>
      <c r="C6" t="s">
        <v>13</v>
      </c>
      <c r="E6" t="s">
        <v>20</v>
      </c>
    </row>
    <row r="7" spans="1:17" x14ac:dyDescent="0.3">
      <c r="A7" t="s">
        <v>14</v>
      </c>
      <c r="B7">
        <v>10</v>
      </c>
      <c r="C7" t="s">
        <v>5</v>
      </c>
    </row>
    <row r="8" spans="1:17" x14ac:dyDescent="0.3">
      <c r="E8" t="s">
        <v>23</v>
      </c>
    </row>
    <row r="9" spans="1:17" x14ac:dyDescent="0.3">
      <c r="D9" s="1"/>
      <c r="E9" t="s">
        <v>25</v>
      </c>
      <c r="F9" s="1"/>
    </row>
    <row r="10" spans="1:17" x14ac:dyDescent="0.3">
      <c r="A10" s="1" t="s">
        <v>15</v>
      </c>
      <c r="B10">
        <v>24</v>
      </c>
      <c r="C10" t="s">
        <v>11</v>
      </c>
      <c r="E10" t="s">
        <v>26</v>
      </c>
    </row>
    <row r="11" spans="1:17" x14ac:dyDescent="0.3">
      <c r="A11" s="1" t="s">
        <v>16</v>
      </c>
      <c r="B11" cm="1">
        <f t="array" ref="B11">(CEILING(feetCheck(C5,B5)/2,1)+1)*(CEILING(feetCheck(C4,B4)/4,1)+1)</f>
        <v>366</v>
      </c>
      <c r="C11" t="s">
        <v>17</v>
      </c>
      <c r="E11" t="s">
        <v>27</v>
      </c>
    </row>
    <row r="12" spans="1:17" x14ac:dyDescent="0.3">
      <c r="A12" s="1" t="s">
        <v>18</v>
      </c>
      <c r="B12" cm="1">
        <f t="array" ref="B12">CEILING(1.1*B14*((feetCheck(C4,B4)-0.5)/(B7-0.5))*B7,1)</f>
        <v>1644</v>
      </c>
      <c r="C12" t="s">
        <v>19</v>
      </c>
      <c r="E12" t="s">
        <v>28</v>
      </c>
    </row>
    <row r="13" spans="1:17" x14ac:dyDescent="0.3">
      <c r="A13" s="1" t="str">
        <f>CONCATENATE("Est. Number of Channels @ ",B7, "' ea")</f>
        <v>Est. Number of Channels @ 10' ea</v>
      </c>
      <c r="B13">
        <f>CEILING(B12/B7,1)</f>
        <v>165</v>
      </c>
      <c r="C13" t="s">
        <v>17</v>
      </c>
      <c r="E13" t="s">
        <v>90</v>
      </c>
    </row>
    <row r="14" spans="1:17" x14ac:dyDescent="0.3">
      <c r="A14" s="1" t="s">
        <v>21</v>
      </c>
      <c r="B14" cm="1">
        <f t="array" ref="B14">CEILING((inchesCheck(C5,B5)-16)/$B$10,1)+1</f>
        <v>6</v>
      </c>
      <c r="C14" t="s">
        <v>17</v>
      </c>
      <c r="E14" s="1" t="s">
        <v>91</v>
      </c>
    </row>
    <row r="15" spans="1:17" x14ac:dyDescent="0.3">
      <c r="A15" s="1" t="s">
        <v>22</v>
      </c>
      <c r="B15">
        <f>$B$14-2</f>
        <v>4</v>
      </c>
      <c r="C15" t="s">
        <v>17</v>
      </c>
    </row>
    <row r="16" spans="1:17" x14ac:dyDescent="0.3">
      <c r="A16" s="1" t="s">
        <v>24</v>
      </c>
      <c r="B16" t="str" cm="1">
        <f t="array" ref="B16">RowPos(inchesCheck(C5,B5),B15,B10)</f>
        <v>23.5, 47.5, 71.5, 95.5</v>
      </c>
      <c r="C16" t="s">
        <v>11</v>
      </c>
    </row>
    <row r="19" spans="1:5" x14ac:dyDescent="0.3">
      <c r="A19" s="1" t="s">
        <v>15</v>
      </c>
      <c r="B19">
        <v>16</v>
      </c>
      <c r="C19" t="s">
        <v>11</v>
      </c>
    </row>
    <row r="20" spans="1:5" x14ac:dyDescent="0.3">
      <c r="A20" s="1" t="s">
        <v>29</v>
      </c>
      <c r="B20" cm="1">
        <f t="array" ref="B20">(CEILING((3*feetCheck(C5,B5))/4,1)+1)*(CEILING(feetCheck(C4,B4)/4,1)+1)</f>
        <v>549</v>
      </c>
      <c r="C20" t="s">
        <v>17</v>
      </c>
    </row>
    <row r="21" spans="1:5" x14ac:dyDescent="0.3">
      <c r="A21" s="1" t="s">
        <v>30</v>
      </c>
      <c r="B21" cm="1">
        <f t="array" ref="B21">CEILING(1.1*B23*((feetCheck(C4,B4)-0.5)/(B7-0.5))*B7,1)</f>
        <v>2191</v>
      </c>
      <c r="C21" t="s">
        <v>19</v>
      </c>
    </row>
    <row r="22" spans="1:5" x14ac:dyDescent="0.3">
      <c r="A22" s="1" t="str">
        <f>CONCATENATE("Est. Number of Channels @ ",B7, "' ea")</f>
        <v>Est. Number of Channels @ 10' ea</v>
      </c>
      <c r="B22">
        <f>CEILING(B21/B7,1)</f>
        <v>220</v>
      </c>
    </row>
    <row r="23" spans="1:5" x14ac:dyDescent="0.3">
      <c r="A23" s="1" t="s">
        <v>31</v>
      </c>
      <c r="B23" cm="1">
        <f t="array" ref="B23">CEILING((inchesCheck(C5,B5)-16)/16,1)+1</f>
        <v>8</v>
      </c>
      <c r="C23" t="s">
        <v>17</v>
      </c>
    </row>
    <row r="24" spans="1:5" x14ac:dyDescent="0.3">
      <c r="A24" s="1" t="s">
        <v>32</v>
      </c>
      <c r="B24">
        <f>B23-2</f>
        <v>6</v>
      </c>
      <c r="C24" t="s">
        <v>17</v>
      </c>
    </row>
    <row r="25" spans="1:5" x14ac:dyDescent="0.3">
      <c r="A25" s="1" t="s">
        <v>33</v>
      </c>
      <c r="B25" t="str" cm="1">
        <f t="array" ref="B25">RowPos(inchesCheck(C5,B5),B24,B19)</f>
        <v>19.5, 35.5, 51.5, 67.5, 83.5, 99.5</v>
      </c>
      <c r="C25" t="s">
        <v>11</v>
      </c>
    </row>
    <row r="29" spans="1:5" x14ac:dyDescent="0.3">
      <c r="A29" t="s">
        <v>34</v>
      </c>
      <c r="E29" s="3" t="s">
        <v>35</v>
      </c>
    </row>
    <row r="30" spans="1:5" x14ac:dyDescent="0.3">
      <c r="A30" t="s">
        <v>36</v>
      </c>
      <c r="B30" cm="1">
        <f t="array" ref="B30">CEILING(1.1*B31*((feetCheck(C4,B4)-0.5)/(B7-0.5))*B7,1)</f>
        <v>16705</v>
      </c>
    </row>
    <row r="31" spans="1:5" x14ac:dyDescent="0.3">
      <c r="A31" t="s">
        <v>37</v>
      </c>
      <c r="B31">
        <f>CEILING(B5/2+1,1)</f>
        <v>61</v>
      </c>
      <c r="C31" t="s">
        <v>17</v>
      </c>
    </row>
    <row r="32" spans="1:5" x14ac:dyDescent="0.3">
      <c r="A32" t="s">
        <v>38</v>
      </c>
      <c r="B32">
        <f>B31-2</f>
        <v>59</v>
      </c>
      <c r="C32" t="s">
        <v>17</v>
      </c>
    </row>
    <row r="33" spans="1:3" x14ac:dyDescent="0.3">
      <c r="A33" t="s">
        <v>39</v>
      </c>
      <c r="B33" t="str" cm="1">
        <f t="array" ref="B33">RowPos(inchesCheck(C5,B5),B32,B10)</f>
        <v>-636.5, -612.5, -588.5, -564.5, -540.5, -516.5, -492.5, -468.5, -444.5, -420.5, -396.5, -372.5, -348.5, -324.5, -300.5, -276.5, -252.5, -228.5, -204.5, -180.5, -156.5, -132.5, -108.5, -84.5, -60.5, -36.5, -12.5, 11.5, 35.5, 59.5, 83.5, 107.5, 131.5, 155.5, 179.5, 203.5, 227.5, 251.5, 275.5, 299.5, 323.5, 347.5, 371.5, 395.5, 419.5, 443.5, 467.5, 491.5, 515.5, 539.5, 563.5, 587.5, 611.5, 635.5, 659.5, 683.5, 707.5, 731.5, 755.5</v>
      </c>
      <c r="C33" t="s">
        <v>11</v>
      </c>
    </row>
    <row r="44" spans="1:3" x14ac:dyDescent="0.3">
      <c r="B44" t="s">
        <v>5</v>
      </c>
    </row>
    <row r="45" spans="1:3" x14ac:dyDescent="0.3">
      <c r="B45" t="s">
        <v>11</v>
      </c>
    </row>
  </sheetData>
  <mergeCells count="1">
    <mergeCell ref="A1:Q1"/>
  </mergeCells>
  <dataValidations count="1">
    <dataValidation type="list" allowBlank="1" showInputMessage="1" showErrorMessage="1" sqref="C4:C5" xr:uid="{53A98E15-9595-4ECC-95A4-1E4B404A66FA}">
      <formula1>$B$44:$B$45</formula1>
    </dataValidation>
  </dataValidations>
  <pageMargins left="0.7" right="0.7" top="0.75" bottom="0.75" header="0.3" footer="0.3"/>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1CE51-77B3-4FBF-A590-4F5A24886DA0}">
  <dimension ref="A1:P69"/>
  <sheetViews>
    <sheetView tabSelected="1" topLeftCell="A8" workbookViewId="0">
      <selection activeCell="L25" sqref="L25"/>
    </sheetView>
  </sheetViews>
  <sheetFormatPr defaultRowHeight="14.4" x14ac:dyDescent="0.3"/>
  <cols>
    <col min="1" max="1" width="24.44140625" customWidth="1"/>
    <col min="2" max="2" width="13.33203125" customWidth="1"/>
    <col min="3" max="3" width="9.77734375" customWidth="1"/>
    <col min="7" max="7" width="4.21875" customWidth="1"/>
    <col min="8" max="8" width="15.109375" customWidth="1"/>
    <col min="10" max="10" width="7.44140625" customWidth="1"/>
    <col min="13" max="13" width="12" bestFit="1" customWidth="1"/>
    <col min="14" max="14" width="17.44140625" bestFit="1" customWidth="1"/>
    <col min="15" max="15" width="15.5546875" bestFit="1" customWidth="1"/>
    <col min="16" max="16" width="12" bestFit="1" customWidth="1"/>
  </cols>
  <sheetData>
    <row r="1" spans="1:16" ht="20.399999999999999" thickBot="1" x14ac:dyDescent="0.35">
      <c r="A1" s="28" t="s">
        <v>110</v>
      </c>
      <c r="B1" s="28"/>
      <c r="C1" s="28"/>
      <c r="D1" s="28"/>
      <c r="E1" s="28"/>
      <c r="F1" s="28"/>
      <c r="G1" s="28"/>
      <c r="H1" s="28"/>
      <c r="I1" s="28"/>
      <c r="J1" s="28"/>
      <c r="K1" s="28"/>
      <c r="L1" s="28"/>
      <c r="M1" s="28"/>
      <c r="N1" s="28"/>
      <c r="O1" s="28"/>
      <c r="P1" s="28"/>
    </row>
    <row r="2" spans="1:16" ht="15.6" thickTop="1" thickBot="1" x14ac:dyDescent="0.35">
      <c r="A2" s="30"/>
      <c r="B2" s="30"/>
      <c r="C2" s="30"/>
      <c r="D2" s="30"/>
      <c r="E2" s="30"/>
      <c r="F2" s="30"/>
      <c r="G2" s="30"/>
      <c r="H2" s="30"/>
      <c r="I2" s="30"/>
      <c r="J2" s="30"/>
      <c r="K2" s="30"/>
      <c r="L2" s="30"/>
      <c r="M2" s="30"/>
      <c r="N2" s="30"/>
      <c r="O2" s="30" t="s">
        <v>115</v>
      </c>
      <c r="P2" s="30" t="s">
        <v>116</v>
      </c>
    </row>
    <row r="3" spans="1:16" ht="335.4" customHeight="1" thickTop="1" x14ac:dyDescent="0.3">
      <c r="A3" s="29" t="s">
        <v>113</v>
      </c>
      <c r="B3" s="29"/>
      <c r="C3" s="29"/>
      <c r="D3" s="29"/>
      <c r="E3" s="29"/>
      <c r="F3" s="29"/>
      <c r="G3" s="29"/>
      <c r="H3" s="29"/>
      <c r="I3" s="29"/>
      <c r="J3" s="29"/>
      <c r="K3" s="29"/>
      <c r="L3" s="29"/>
      <c r="M3" s="29"/>
      <c r="N3" s="29"/>
      <c r="O3" s="29"/>
      <c r="P3" s="29"/>
    </row>
    <row r="4" spans="1:16" x14ac:dyDescent="0.3">
      <c r="A4" s="6"/>
      <c r="B4" s="6"/>
      <c r="C4" s="6"/>
      <c r="D4" s="6"/>
      <c r="E4" s="6"/>
      <c r="F4" s="6"/>
      <c r="G4" s="6"/>
      <c r="H4" s="6"/>
      <c r="I4" s="6"/>
      <c r="J4" s="6"/>
      <c r="K4" s="6"/>
      <c r="L4" s="6"/>
      <c r="M4" s="6"/>
      <c r="N4" s="6"/>
      <c r="O4" s="6"/>
      <c r="P4" s="6"/>
    </row>
    <row r="5" spans="1:16" x14ac:dyDescent="0.3">
      <c r="A5" s="12" t="s">
        <v>86</v>
      </c>
      <c r="B5" s="13"/>
      <c r="C5" s="13"/>
      <c r="D5" s="13"/>
      <c r="E5" s="13"/>
      <c r="F5" s="13"/>
      <c r="G5" s="6"/>
      <c r="H5" s="7" t="s">
        <v>85</v>
      </c>
      <c r="I5" s="8"/>
      <c r="J5" s="8"/>
      <c r="K5" s="8"/>
      <c r="L5" s="8"/>
      <c r="M5" s="8"/>
      <c r="N5" s="9" t="s">
        <v>92</v>
      </c>
      <c r="O5" s="9" t="s">
        <v>46</v>
      </c>
    </row>
    <row r="6" spans="1:16" x14ac:dyDescent="0.3">
      <c r="A6" s="1" t="s">
        <v>40</v>
      </c>
      <c r="B6" s="1" t="s">
        <v>1</v>
      </c>
      <c r="C6" s="1" t="s">
        <v>56</v>
      </c>
      <c r="D6" s="1" t="s">
        <v>80</v>
      </c>
      <c r="G6" s="6"/>
      <c r="H6" s="4" t="s">
        <v>59</v>
      </c>
      <c r="I6" s="4">
        <v>15</v>
      </c>
      <c r="J6" t="s">
        <v>11</v>
      </c>
      <c r="K6" t="s">
        <v>63</v>
      </c>
      <c r="L6">
        <f>I6-SUM(B17,B18,B18,B17)</f>
        <v>11.5625</v>
      </c>
      <c r="M6" t="s">
        <v>11</v>
      </c>
      <c r="N6" s="1" t="s">
        <v>87</v>
      </c>
      <c r="O6" s="1" t="s">
        <v>103</v>
      </c>
      <c r="P6" s="1" t="s">
        <v>88</v>
      </c>
    </row>
    <row r="7" spans="1:16" x14ac:dyDescent="0.3">
      <c r="A7" s="4" t="s">
        <v>41</v>
      </c>
      <c r="B7" s="4">
        <v>237</v>
      </c>
      <c r="C7" s="22" t="s">
        <v>11</v>
      </c>
      <c r="D7" t="s">
        <v>76</v>
      </c>
      <c r="E7" s="9">
        <v>2</v>
      </c>
      <c r="F7" t="s">
        <v>17</v>
      </c>
      <c r="G7" s="6"/>
      <c r="H7" s="4" t="s">
        <v>60</v>
      </c>
      <c r="I7" s="4">
        <v>13</v>
      </c>
      <c r="J7" t="s">
        <v>11</v>
      </c>
      <c r="K7" t="s">
        <v>64</v>
      </c>
      <c r="L7">
        <f>I7-SUM(B17,B18,B18,B17)</f>
        <v>9.5625</v>
      </c>
      <c r="M7" t="s">
        <v>11</v>
      </c>
      <c r="N7" s="5" t="s">
        <v>65</v>
      </c>
      <c r="O7">
        <f>L9</f>
        <v>7.4968864864864866</v>
      </c>
      <c r="P7">
        <f>O7</f>
        <v>7.4968864864864866</v>
      </c>
    </row>
    <row r="8" spans="1:16" x14ac:dyDescent="0.3">
      <c r="A8" s="4" t="s">
        <v>42</v>
      </c>
      <c r="B8" s="4">
        <v>133</v>
      </c>
      <c r="C8" s="22" t="s">
        <v>11</v>
      </c>
      <c r="D8" t="s">
        <v>4</v>
      </c>
      <c r="E8" s="9">
        <v>237</v>
      </c>
      <c r="F8" t="s">
        <v>11</v>
      </c>
      <c r="G8" s="6"/>
      <c r="H8" s="4" t="s">
        <v>61</v>
      </c>
      <c r="I8" s="4">
        <v>2</v>
      </c>
      <c r="J8" t="s">
        <v>17</v>
      </c>
      <c r="K8" t="s">
        <v>70</v>
      </c>
      <c r="L8">
        <f>L6*L7</f>
        <v>110.56640625</v>
      </c>
      <c r="M8" t="s">
        <v>109</v>
      </c>
      <c r="N8" s="15">
        <v>1</v>
      </c>
      <c r="O8">
        <f>O7</f>
        <v>7.4968864864864866</v>
      </c>
      <c r="P8">
        <f>SUM(1,P7,1,(B17/2))</f>
        <v>9.8562614864864866</v>
      </c>
    </row>
    <row r="9" spans="1:16" x14ac:dyDescent="0.3">
      <c r="A9" s="4" t="s">
        <v>43</v>
      </c>
      <c r="B9" s="4">
        <v>7.5</v>
      </c>
      <c r="C9" t="s">
        <v>5</v>
      </c>
      <c r="D9" t="s">
        <v>10</v>
      </c>
      <c r="E9" s="9">
        <v>28</v>
      </c>
      <c r="F9" t="s">
        <v>11</v>
      </c>
      <c r="G9" s="6"/>
      <c r="H9" t="s">
        <v>62</v>
      </c>
      <c r="I9">
        <v>1.6180000000000001</v>
      </c>
      <c r="K9" t="s">
        <v>73</v>
      </c>
      <c r="L9">
        <f>I10*1.1</f>
        <v>7.4968864864864866</v>
      </c>
      <c r="M9" t="s">
        <v>11</v>
      </c>
      <c r="N9" s="15">
        <v>2</v>
      </c>
      <c r="O9">
        <f>O7*POWER(I9,2)</f>
        <v>19.626279058248652</v>
      </c>
      <c r="P9">
        <f>SUM(B17,1,P8,O9,1)</f>
        <v>32.201290544735137</v>
      </c>
    </row>
    <row r="10" spans="1:16" x14ac:dyDescent="0.3">
      <c r="A10" t="s">
        <v>12</v>
      </c>
      <c r="B10">
        <f>PRODUCT(feetCheck(C7,B7),feetCheck(C8,B8))</f>
        <v>218.89583333333334</v>
      </c>
      <c r="C10" t="s">
        <v>77</v>
      </c>
      <c r="D10" t="s">
        <v>81</v>
      </c>
      <c r="E10" s="9">
        <v>13</v>
      </c>
      <c r="F10" t="s">
        <v>11</v>
      </c>
      <c r="G10" s="6"/>
      <c r="H10" t="s">
        <v>71</v>
      </c>
      <c r="I10">
        <f>(IF(O5="CFM Minus Soffit",E14,B14)*144)/(B15*IF(L6&gt;=L7,L6,L7))</f>
        <v>6.8153513513513513</v>
      </c>
      <c r="J10" t="s">
        <v>11</v>
      </c>
      <c r="K10" t="s">
        <v>67</v>
      </c>
      <c r="L10">
        <f>(IF(O5="CFM Minus Soffit",E14,B14)*144)/L8</f>
        <v>213.81494435612083</v>
      </c>
      <c r="M10" t="s">
        <v>68</v>
      </c>
      <c r="N10" s="15">
        <v>3</v>
      </c>
      <c r="O10">
        <f>IF(I8&gt;=N10,O7*I9,0)</f>
        <v>0</v>
      </c>
      <c r="P10">
        <f>IF(I8&gt;=N10,SUM(B17,1,P9,O10,1),0)</f>
        <v>0</v>
      </c>
    </row>
    <row r="11" spans="1:16" x14ac:dyDescent="0.3">
      <c r="A11" t="s">
        <v>82</v>
      </c>
      <c r="B11">
        <f>PRODUCT(feetCheck(C7,B7),feetCheck(C8,B8),feetCheck(C9,B9))</f>
        <v>1641.71875</v>
      </c>
      <c r="C11" t="s">
        <v>58</v>
      </c>
      <c r="D11" t="s">
        <v>83</v>
      </c>
      <c r="E11">
        <f>PRODUCT(feetCheck(F8,E8),feetCheck(F9,E9),feetCheck(F10,E10))</f>
        <v>49.923611111111107</v>
      </c>
      <c r="F11" t="s">
        <v>75</v>
      </c>
      <c r="G11" s="6"/>
      <c r="H11" t="s">
        <v>66</v>
      </c>
      <c r="I11">
        <f ca="1">SUM(OFFSET(O7,0,0,I8+1,1))+(I8*SUM(B18,B17,B18))+SUM(B17,B18,B18,B17)</f>
        <v>43.495052031221626</v>
      </c>
      <c r="J11" t="s">
        <v>11</v>
      </c>
      <c r="K11" t="s">
        <v>67</v>
      </c>
      <c r="L11">
        <f>(IF(O5="CFM Minus Soffit",E14,B14)*144)/(IF(L6&gt;=L7,L6,L7)*I10)</f>
        <v>300</v>
      </c>
      <c r="M11" t="s">
        <v>68</v>
      </c>
      <c r="N11" s="15">
        <v>4</v>
      </c>
      <c r="O11">
        <f>IF(I8=N11,O7,0)</f>
        <v>0</v>
      </c>
      <c r="P11">
        <f>IF(I8=N11,SUM(P10,B17,1,O11,1),0)</f>
        <v>0</v>
      </c>
    </row>
    <row r="12" spans="1:16" x14ac:dyDescent="0.3">
      <c r="A12" t="s">
        <v>44</v>
      </c>
      <c r="B12">
        <v>0.35</v>
      </c>
      <c r="D12" t="s">
        <v>74</v>
      </c>
      <c r="E12">
        <f>PRODUCT(E7,E11)</f>
        <v>99.847222222222214</v>
      </c>
      <c r="F12" t="s">
        <v>75</v>
      </c>
      <c r="G12" s="6"/>
      <c r="H12" t="s">
        <v>49</v>
      </c>
      <c r="I12">
        <f>IF(L6&gt;=L7,L6,L7)-I10</f>
        <v>4.7471486486486487</v>
      </c>
      <c r="J12" t="s">
        <v>11</v>
      </c>
    </row>
    <row r="13" spans="1:16" x14ac:dyDescent="0.3">
      <c r="A13" t="s">
        <v>78</v>
      </c>
      <c r="B13">
        <f>B11/60*B12</f>
        <v>9.5766927083333329</v>
      </c>
      <c r="G13" s="6"/>
    </row>
    <row r="14" spans="1:16" x14ac:dyDescent="0.3">
      <c r="A14" t="s">
        <v>79</v>
      </c>
      <c r="B14" s="10">
        <f>B11/10</f>
        <v>164.171875</v>
      </c>
      <c r="C14" t="s">
        <v>45</v>
      </c>
      <c r="D14" t="s">
        <v>84</v>
      </c>
      <c r="E14">
        <f>SUM(B11,-E12)/10</f>
        <v>154.18715277777778</v>
      </c>
      <c r="F14" t="s">
        <v>45</v>
      </c>
      <c r="G14" s="6"/>
      <c r="H14" s="6"/>
      <c r="I14" s="6"/>
      <c r="J14" s="6"/>
      <c r="K14" s="6"/>
      <c r="L14" s="6"/>
      <c r="M14" s="6"/>
      <c r="N14" s="6"/>
      <c r="O14" s="6"/>
      <c r="P14" s="6"/>
    </row>
    <row r="15" spans="1:16" x14ac:dyDescent="0.3">
      <c r="A15" s="4" t="s">
        <v>69</v>
      </c>
      <c r="B15" s="4">
        <v>300</v>
      </c>
      <c r="C15" t="s">
        <v>68</v>
      </c>
      <c r="G15" s="6"/>
    </row>
    <row r="16" spans="1:16" ht="14.4" customHeight="1" x14ac:dyDescent="0.3">
      <c r="G16" s="6"/>
      <c r="H16" s="17" t="s">
        <v>97</v>
      </c>
      <c r="I16" s="17"/>
      <c r="J16" s="17"/>
      <c r="K16" s="17"/>
      <c r="L16" s="17"/>
      <c r="M16" s="17"/>
      <c r="N16" s="17"/>
      <c r="O16" s="17"/>
    </row>
    <row r="17" spans="1:15" ht="18" customHeight="1" x14ac:dyDescent="0.3">
      <c r="A17" s="4" t="s">
        <v>98</v>
      </c>
      <c r="B17" s="4">
        <v>0.71875</v>
      </c>
      <c r="C17" t="s">
        <v>11</v>
      </c>
      <c r="G17" s="27"/>
      <c r="H17" s="17"/>
      <c r="I17" s="17"/>
      <c r="J17" s="17"/>
      <c r="K17" s="17"/>
      <c r="L17" s="17"/>
      <c r="M17" s="17"/>
      <c r="N17" s="17"/>
      <c r="O17" s="17"/>
    </row>
    <row r="18" spans="1:15" ht="14.4" customHeight="1" x14ac:dyDescent="0.3">
      <c r="A18" s="4" t="s">
        <v>99</v>
      </c>
      <c r="B18" s="4">
        <v>1</v>
      </c>
      <c r="C18" t="s">
        <v>11</v>
      </c>
      <c r="G18" s="6"/>
      <c r="H18" s="11"/>
      <c r="I18" s="11"/>
      <c r="J18" s="18" t="s">
        <v>47</v>
      </c>
      <c r="K18" s="18"/>
      <c r="L18" s="18"/>
      <c r="M18" s="18"/>
      <c r="N18" s="11"/>
      <c r="O18" s="11"/>
    </row>
    <row r="19" spans="1:15" x14ac:dyDescent="0.3">
      <c r="G19" s="6"/>
      <c r="H19" s="17" t="s">
        <v>112</v>
      </c>
      <c r="I19" s="17"/>
      <c r="J19" s="17"/>
      <c r="K19" s="17"/>
      <c r="L19" s="17"/>
      <c r="M19" s="17"/>
      <c r="N19" s="17"/>
      <c r="O19" s="17"/>
    </row>
    <row r="20" spans="1:15" x14ac:dyDescent="0.3">
      <c r="A20" s="19" t="s">
        <v>96</v>
      </c>
      <c r="B20" s="19"/>
      <c r="C20" s="14"/>
      <c r="D20" s="14"/>
      <c r="E20" s="14"/>
      <c r="F20" s="14"/>
      <c r="G20" s="6"/>
      <c r="H20" s="1" t="s">
        <v>57</v>
      </c>
      <c r="I20" s="1" t="s">
        <v>1</v>
      </c>
      <c r="J20" s="1" t="s">
        <v>56</v>
      </c>
    </row>
    <row r="21" spans="1:15" x14ac:dyDescent="0.3">
      <c r="A21" s="20" t="s">
        <v>95</v>
      </c>
      <c r="B21" s="20"/>
      <c r="C21" s="20"/>
      <c r="D21" s="20"/>
      <c r="E21" s="20"/>
      <c r="F21" s="20"/>
      <c r="G21" s="6"/>
      <c r="H21" s="4" t="s">
        <v>55</v>
      </c>
      <c r="I21" s="4">
        <v>10</v>
      </c>
      <c r="J21" t="s">
        <v>11</v>
      </c>
    </row>
    <row r="22" spans="1:15" x14ac:dyDescent="0.3">
      <c r="A22" s="20"/>
      <c r="B22" s="20"/>
      <c r="C22" s="20"/>
      <c r="D22" s="20"/>
      <c r="E22" s="20"/>
      <c r="F22" s="20"/>
      <c r="G22" s="6"/>
      <c r="H22" s="4" t="s">
        <v>54</v>
      </c>
      <c r="I22" s="4">
        <v>8</v>
      </c>
      <c r="J22" t="s">
        <v>11</v>
      </c>
    </row>
    <row r="23" spans="1:15" x14ac:dyDescent="0.3">
      <c r="A23" s="20"/>
      <c r="B23" s="20"/>
      <c r="C23" s="20"/>
      <c r="D23" s="20"/>
      <c r="E23" s="20"/>
      <c r="F23" s="20"/>
      <c r="G23" s="6"/>
      <c r="H23" s="4" t="s">
        <v>53</v>
      </c>
      <c r="I23" s="4">
        <v>2</v>
      </c>
      <c r="J23" t="s">
        <v>17</v>
      </c>
    </row>
    <row r="24" spans="1:15" x14ac:dyDescent="0.3">
      <c r="A24" s="20"/>
      <c r="B24" s="20"/>
      <c r="C24" s="20"/>
      <c r="D24" s="20"/>
      <c r="E24" s="20"/>
      <c r="F24" s="20"/>
      <c r="G24" s="6"/>
      <c r="H24" t="s">
        <v>52</v>
      </c>
      <c r="I24">
        <f>I23+1</f>
        <v>3</v>
      </c>
    </row>
    <row r="25" spans="1:15" x14ac:dyDescent="0.3">
      <c r="A25" s="20"/>
      <c r="B25" s="20"/>
      <c r="C25" s="20"/>
      <c r="D25" s="20"/>
      <c r="E25" s="20"/>
      <c r="F25" s="20"/>
      <c r="G25" s="6"/>
    </row>
    <row r="26" spans="1:15" x14ac:dyDescent="0.3">
      <c r="A26" s="16" t="s">
        <v>94</v>
      </c>
      <c r="B26" s="16"/>
      <c r="C26" s="16"/>
      <c r="D26" s="16"/>
      <c r="E26" s="16"/>
      <c r="F26" s="16"/>
      <c r="G26" s="6"/>
      <c r="H26" s="1" t="s">
        <v>51</v>
      </c>
    </row>
    <row r="27" spans="1:15" x14ac:dyDescent="0.3">
      <c r="A27" s="16"/>
      <c r="B27" s="16"/>
      <c r="C27" s="16"/>
      <c r="D27" s="16"/>
      <c r="E27" s="16"/>
      <c r="F27" s="16"/>
      <c r="G27" s="6"/>
      <c r="H27" t="s">
        <v>50</v>
      </c>
      <c r="I27">
        <f>I22+2*(B17+B18)</f>
        <v>11.4375</v>
      </c>
      <c r="J27" t="s">
        <v>11</v>
      </c>
      <c r="L27" t="s">
        <v>100</v>
      </c>
      <c r="M27">
        <f>I30*I27*B17</f>
        <v>98.6484375</v>
      </c>
      <c r="N27">
        <f>M27*I23</f>
        <v>197.296875</v>
      </c>
      <c r="O27" t="s">
        <v>101</v>
      </c>
    </row>
    <row r="28" spans="1:15" x14ac:dyDescent="0.3">
      <c r="A28" s="16"/>
      <c r="B28" s="16"/>
      <c r="C28" s="16"/>
      <c r="D28" s="16"/>
      <c r="E28" s="16"/>
      <c r="F28" s="16"/>
      <c r="G28" s="6"/>
      <c r="H28" t="s">
        <v>4</v>
      </c>
      <c r="I28">
        <f>I24*I30+(2+I23)*B17</f>
        <v>38.875</v>
      </c>
      <c r="J28" t="s">
        <v>11</v>
      </c>
      <c r="L28" t="s">
        <v>48</v>
      </c>
      <c r="M28">
        <f>(I28)*(I29)*(I27)</f>
        <v>11560.453125</v>
      </c>
      <c r="N28">
        <f>M28-N27</f>
        <v>11363.15625</v>
      </c>
      <c r="O28" t="s">
        <v>101</v>
      </c>
    </row>
    <row r="29" spans="1:15" x14ac:dyDescent="0.3">
      <c r="A29" s="16"/>
      <c r="B29" s="16"/>
      <c r="C29" s="16"/>
      <c r="D29" s="16"/>
      <c r="E29" s="16"/>
      <c r="F29" s="16"/>
      <c r="G29" s="6"/>
      <c r="H29" t="s">
        <v>10</v>
      </c>
      <c r="I29">
        <f>2*I30+2*B18</f>
        <v>26</v>
      </c>
      <c r="J29" t="s">
        <v>11</v>
      </c>
      <c r="L29" t="s">
        <v>72</v>
      </c>
      <c r="M29">
        <f>I21*I22</f>
        <v>80</v>
      </c>
      <c r="N29" t="s">
        <v>102</v>
      </c>
    </row>
    <row r="30" spans="1:15" x14ac:dyDescent="0.3">
      <c r="G30" s="6"/>
      <c r="H30" t="s">
        <v>49</v>
      </c>
      <c r="I30">
        <f>I21+2*B18</f>
        <v>12</v>
      </c>
      <c r="J30" t="s">
        <v>11</v>
      </c>
      <c r="L30" t="s">
        <v>67</v>
      </c>
      <c r="M30">
        <f>(B14*144)/M29</f>
        <v>295.50937499999998</v>
      </c>
      <c r="N30" t="s">
        <v>68</v>
      </c>
    </row>
    <row r="31" spans="1:15" x14ac:dyDescent="0.3">
      <c r="G31" s="6"/>
    </row>
    <row r="32" spans="1:15" x14ac:dyDescent="0.3">
      <c r="G32" s="6"/>
    </row>
    <row r="33" spans="7:7" x14ac:dyDescent="0.3">
      <c r="G33" s="6"/>
    </row>
    <row r="34" spans="7:7" x14ac:dyDescent="0.3">
      <c r="G34" s="6"/>
    </row>
    <row r="68" spans="1:1" x14ac:dyDescent="0.3">
      <c r="A68" t="s">
        <v>46</v>
      </c>
    </row>
    <row r="69" spans="1:1" x14ac:dyDescent="0.3">
      <c r="A69" t="s">
        <v>93</v>
      </c>
    </row>
  </sheetData>
  <mergeCells count="8">
    <mergeCell ref="A1:P1"/>
    <mergeCell ref="A3:P3"/>
    <mergeCell ref="A26:F29"/>
    <mergeCell ref="H19:O19"/>
    <mergeCell ref="H16:O17"/>
    <mergeCell ref="J18:M18"/>
    <mergeCell ref="A20:B20"/>
    <mergeCell ref="A21:F25"/>
  </mergeCells>
  <conditionalFormatting sqref="B14">
    <cfRule type="expression" dxfId="4" priority="1">
      <formula>$O$5="Load CFM"</formula>
    </cfRule>
  </conditionalFormatting>
  <conditionalFormatting sqref="E14">
    <cfRule type="expression" dxfId="3" priority="2">
      <formula>$O$5="CFM Minus Soffit"</formula>
    </cfRule>
  </conditionalFormatting>
  <conditionalFormatting sqref="L10:M10 M11">
    <cfRule type="expression" dxfId="2" priority="5">
      <formula>$L$10&gt;$B$15</formula>
    </cfRule>
  </conditionalFormatting>
  <conditionalFormatting sqref="M30">
    <cfRule type="expression" dxfId="1" priority="3">
      <formula>$M$30&gt;$B$15</formula>
    </cfRule>
    <cfRule type="expression" dxfId="0" priority="4">
      <formula>$M$30&lt;=$B$15</formula>
    </cfRule>
  </conditionalFormatting>
  <dataValidations count="1">
    <dataValidation type="list" allowBlank="1" showInputMessage="1" showErrorMessage="1" sqref="O5" xr:uid="{35517CA3-C6B5-41C5-9B10-80D0F0B925DE}">
      <formula1>$A$68:$A$69</formula1>
    </dataValidation>
  </dataValidations>
  <hyperlinks>
    <hyperlink ref="J18:M18" r:id="rId1" display="ductulator.com" xr:uid="{3E7A8DB5-8B34-4F39-B83F-0E9208848DDF}"/>
    <hyperlink ref="J18" r:id="rId2" xr:uid="{9895A9B1-F0CC-4922-9AD4-FBB409E1055D}"/>
  </hyperlinks>
  <pageMargins left="0.7" right="0.7" top="0.75" bottom="0.75" header="0.3" footer="0.3"/>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EC3F8442-8CA5-4AFC-8215-4FB8544BCA00}">
          <x14:formula1>
            <xm:f>'RSIC-1 Calc'!$B$44:$B$45</xm:f>
          </x14:formula1>
          <xm:sqref>C7:C9 F8:F10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62212-1B1F-4D50-BFCA-52A8417571C2}">
  <dimension ref="C5:F16"/>
  <sheetViews>
    <sheetView workbookViewId="0">
      <selection activeCell="D8" sqref="D8"/>
    </sheetView>
  </sheetViews>
  <sheetFormatPr defaultRowHeight="14.4" x14ac:dyDescent="0.3"/>
  <cols>
    <col min="3" max="3" width="10.109375" bestFit="1" customWidth="1"/>
    <col min="4" max="4" width="10.21875" customWidth="1"/>
    <col min="5" max="5" width="10.77734375" customWidth="1"/>
    <col min="6" max="6" width="9.5546875" customWidth="1"/>
  </cols>
  <sheetData>
    <row r="5" spans="3:6" x14ac:dyDescent="0.3">
      <c r="C5" s="21" t="s">
        <v>3</v>
      </c>
      <c r="D5" s="21"/>
      <c r="E5" s="21"/>
      <c r="F5" s="21"/>
    </row>
    <row r="6" spans="3:6" x14ac:dyDescent="0.3">
      <c r="C6" s="21" t="s">
        <v>7</v>
      </c>
      <c r="D6" s="21"/>
      <c r="E6" s="21" t="s">
        <v>9</v>
      </c>
      <c r="F6" s="21"/>
    </row>
    <row r="7" spans="3:6" x14ac:dyDescent="0.3">
      <c r="C7" t="s">
        <v>6</v>
      </c>
      <c r="D7" t="s">
        <v>104</v>
      </c>
      <c r="E7" t="s">
        <v>8</v>
      </c>
      <c r="F7" t="s">
        <v>104</v>
      </c>
    </row>
    <row r="8" spans="3:6" x14ac:dyDescent="0.3">
      <c r="C8" s="26">
        <v>7.4968864860000002</v>
      </c>
      <c r="D8" s="23" t="s">
        <v>11</v>
      </c>
      <c r="E8" cm="1">
        <f t="array" ref="E8">_xlfn.IFS(F8="inches",inchesCheck(D8,C8),F8="feet",feetCheck(D8,C8))</f>
        <v>0.62474054050000005</v>
      </c>
      <c r="F8" s="23" t="s">
        <v>5</v>
      </c>
    </row>
    <row r="9" spans="3:6" x14ac:dyDescent="0.3">
      <c r="E9" s="1" t="s">
        <v>105</v>
      </c>
    </row>
    <row r="10" spans="3:6" x14ac:dyDescent="0.3">
      <c r="E10" s="24" cm="1">
        <f t="array" ref="E10">MROUND(inchesCheck(D8,$C$8),0.03125)</f>
        <v>7.5</v>
      </c>
      <c r="F10" t="s">
        <v>11</v>
      </c>
    </row>
    <row r="11" spans="3:6" x14ac:dyDescent="0.3">
      <c r="E11" s="25" t="s">
        <v>107</v>
      </c>
    </row>
    <row r="12" spans="3:6" x14ac:dyDescent="0.3">
      <c r="E12" s="2" t="s">
        <v>108</v>
      </c>
    </row>
    <row r="13" spans="3:6" x14ac:dyDescent="0.3">
      <c r="E13" s="25" cm="1">
        <f t="array" ref="E13">FLOOR(feetCheck($D$8,TRUNC($C$8)),1)</f>
        <v>0</v>
      </c>
      <c r="F13" t="s">
        <v>106</v>
      </c>
    </row>
    <row r="14" spans="3:6" x14ac:dyDescent="0.3">
      <c r="E14" s="2" cm="1">
        <f t="array" ref="E14">IF(D8="feet",inchesCheck($D$8,$C$8-TRUNC($C$8)),MOD(C8,12))</f>
        <v>7.4968864860000002</v>
      </c>
      <c r="F14" t="s">
        <v>11</v>
      </c>
    </row>
    <row r="15" spans="3:6" x14ac:dyDescent="0.3">
      <c r="E15" s="2"/>
    </row>
    <row r="16" spans="3:6" x14ac:dyDescent="0.3">
      <c r="E16" s="2"/>
    </row>
  </sheetData>
  <mergeCells count="3">
    <mergeCell ref="C5:F5"/>
    <mergeCell ref="C6:D6"/>
    <mergeCell ref="E6:F6"/>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3A98E15-9595-4ECC-95A4-1E4B404A66FA}">
          <x14:formula1>
            <xm:f>'RSIC-1 Calc'!$B$44:$B$45</xm:f>
          </x14:formula1>
          <xm:sqref>F8 D8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RSIC-1 Calc</vt:lpstr>
      <vt:lpstr>Baffle Box Calc</vt:lpstr>
      <vt:lpstr>Conversions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sekthree</dc:creator>
  <cp:lastModifiedBy>sekthree</cp:lastModifiedBy>
  <dcterms:created xsi:type="dcterms:W3CDTF">2026-03-16T23:08:05Z</dcterms:created>
  <dcterms:modified xsi:type="dcterms:W3CDTF">2026-03-23T17:06:33Z</dcterms:modified>
</cp:coreProperties>
</file>